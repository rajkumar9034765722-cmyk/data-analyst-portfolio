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120" yWindow="60" windowWidth="20115" windowHeight="8775"/>
  </bookViews>
  <sheets>
    <sheet name="Raw Data" sheetId="1" r:id="rId1"/>
    <sheet name="Sheet2" sheetId="5" r:id="rId2"/>
    <sheet name="Sheet3" sheetId="6" r:id="rId3"/>
    <sheet name="Data" sheetId="3" r:id="rId4"/>
    <sheet name="Dashboard" sheetId="4" r:id="rId5"/>
  </sheets>
  <definedNames>
    <definedName name="Product_Name">'Raw Data'!#REF!</definedName>
    <definedName name="PRONAME">CHOOSE(Data!$A$1,Product_Name,Region)</definedName>
    <definedName name="Region">'Raw Data'!#REF!</definedName>
    <definedName name="Slicer_region">#N/A</definedName>
  </definedNames>
  <calcPr calcId="144525"/>
  <pivotCaches>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5" i="4" l="1"/>
  <c r="I16" i="1" l="1"/>
  <c r="K5" i="1"/>
  <c r="K6" i="1"/>
  <c r="K7" i="1"/>
  <c r="K8" i="1"/>
  <c r="K9" i="1"/>
  <c r="K4" i="1"/>
  <c r="I15" i="1"/>
  <c r="I14" i="1"/>
  <c r="I13" i="1"/>
  <c r="D19" i="3"/>
  <c r="H11" i="3"/>
  <c r="H10" i="3"/>
  <c r="H9" i="3"/>
  <c r="H8" i="3"/>
  <c r="H7" i="3"/>
  <c r="D20" i="3" s="1"/>
  <c r="H6" i="3"/>
  <c r="H5" i="3"/>
  <c r="H4" i="3"/>
  <c r="H3" i="3"/>
  <c r="D31" i="3" s="1"/>
  <c r="H2" i="3"/>
  <c r="D17" i="3" s="1"/>
  <c r="D4" i="4"/>
  <c r="D21" i="3" l="1"/>
  <c r="D18" i="3"/>
  <c r="D29" i="3"/>
  <c r="D28" i="3"/>
  <c r="D30" i="3"/>
  <c r="D22" i="3"/>
  <c r="H3" i="1"/>
  <c r="H4" i="1"/>
  <c r="H5" i="1"/>
  <c r="H6" i="1"/>
  <c r="H7" i="1"/>
  <c r="H8" i="1"/>
  <c r="H9" i="1"/>
  <c r="H10" i="1"/>
  <c r="H11" i="1"/>
  <c r="H2" i="1"/>
  <c r="B4" i="4" l="1"/>
</calcChain>
</file>

<file path=xl/sharedStrings.xml><?xml version="1.0" encoding="utf-8"?>
<sst xmlns="http://schemas.openxmlformats.org/spreadsheetml/2006/main" count="120" uniqueCount="41">
  <si>
    <t>sale_id</t>
  </si>
  <si>
    <t>sale_date</t>
  </si>
  <si>
    <t>product_name</t>
  </si>
  <si>
    <t>category</t>
  </si>
  <si>
    <t>quantity</t>
  </si>
  <si>
    <t>price</t>
  </si>
  <si>
    <t>region</t>
  </si>
  <si>
    <t>Laptop</t>
  </si>
  <si>
    <t>Electronics</t>
  </si>
  <si>
    <t>North</t>
  </si>
  <si>
    <t>Mouse</t>
  </si>
  <si>
    <t>Accessories</t>
  </si>
  <si>
    <t>South</t>
  </si>
  <si>
    <t>Keyboard</t>
  </si>
  <si>
    <t>Mobile</t>
  </si>
  <si>
    <t>East</t>
  </si>
  <si>
    <t>West</t>
  </si>
  <si>
    <t>Headphones</t>
  </si>
  <si>
    <t>Monitor</t>
  </si>
  <si>
    <t>Total_Sales</t>
  </si>
  <si>
    <t>Product_Name</t>
  </si>
  <si>
    <t>Region</t>
  </si>
  <si>
    <t>SERIAL NUMBER</t>
  </si>
  <si>
    <t>TOTAL SALES</t>
  </si>
  <si>
    <t>TOTAL ORDERS</t>
  </si>
  <si>
    <t>AVERAGE SALE</t>
  </si>
  <si>
    <t>LAPTOP</t>
  </si>
  <si>
    <t>HIGHEST REVENUE PRODUCT</t>
  </si>
  <si>
    <t>PRODUCT-WISE SALES ANALYSIS</t>
  </si>
  <si>
    <t>PRODUCT</t>
  </si>
  <si>
    <t>REGION-WISE SALES ANALYSIS</t>
  </si>
  <si>
    <t>Row Labels</t>
  </si>
  <si>
    <t>Grand Total</t>
  </si>
  <si>
    <t>Sum of Total_Sales</t>
  </si>
  <si>
    <t>AVERAGE TOTAL</t>
  </si>
  <si>
    <t>MAXIMUM PRODUCT REVENUE</t>
  </si>
  <si>
    <t>MOUSE</t>
  </si>
  <si>
    <t>MOBILE</t>
  </si>
  <si>
    <t>MONITOR</t>
  </si>
  <si>
    <t>KEYBOARD</t>
  </si>
  <si>
    <t>HEADPHONES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</si>
</sst>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439]#,##0.00"/>
  </numFmts>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Arial"/>
      <family val="2"/>
    </font>
    <font>
      <b/>
      <sz val="12"/>
      <color theme="0"/>
      <name val="Calibri"/>
      <family val="2"/>
      <scheme val="minor"/>
    </font>
    <font>
      <sz val="18"/>
      <color theme="0"/>
      <name val="Arial"/>
      <family val="2"/>
    </font>
    <font>
      <b/>
      <sz val="18"/>
      <color theme="0"/>
      <name val="Calibri"/>
      <family val="2"/>
      <scheme val="minor"/>
    </font>
    <font>
      <sz val="14"/>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theme="9"/>
      </left>
      <right style="thin">
        <color theme="9"/>
      </right>
      <top style="thin">
        <color theme="9"/>
      </top>
      <bottom style="thin">
        <color theme="9"/>
      </bottom>
      <diagonal/>
    </border>
    <border>
      <left/>
      <right style="thin">
        <color theme="9"/>
      </right>
      <top style="thin">
        <color theme="9"/>
      </top>
      <bottom style="thin">
        <color theme="9"/>
      </bottom>
      <diagonal/>
    </border>
    <border>
      <left style="thin">
        <color theme="9"/>
      </left>
      <right/>
      <top style="thin">
        <color theme="9"/>
      </top>
      <bottom style="thin">
        <color theme="9"/>
      </bottom>
      <diagonal/>
    </border>
    <border>
      <left/>
      <right style="thin">
        <color theme="9"/>
      </right>
      <top/>
      <bottom style="thin">
        <color theme="9"/>
      </bottom>
      <diagonal/>
    </border>
    <border>
      <left style="thin">
        <color theme="9"/>
      </left>
      <right style="thin">
        <color theme="9"/>
      </right>
      <top/>
      <bottom style="thin">
        <color theme="9"/>
      </bottom>
      <diagonal/>
    </border>
    <border>
      <left style="thin">
        <color theme="9"/>
      </left>
      <right/>
      <top/>
      <bottom style="thin">
        <color theme="9"/>
      </bottom>
      <diagonal/>
    </border>
    <border>
      <left/>
      <right style="thin">
        <color theme="9"/>
      </right>
      <top style="thin">
        <color theme="9"/>
      </top>
      <bottom/>
      <diagonal/>
    </border>
    <border>
      <left style="thin">
        <color theme="9"/>
      </left>
      <right style="thin">
        <color theme="9"/>
      </right>
      <top style="thin">
        <color theme="9"/>
      </top>
      <bottom/>
      <diagonal/>
    </border>
    <border>
      <left style="thin">
        <color theme="9"/>
      </left>
      <right/>
      <top style="thin">
        <color theme="9"/>
      </top>
      <bottom/>
      <diagonal/>
    </border>
    <border>
      <left style="thin">
        <color auto="1"/>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1">
    <xf numFmtId="0" fontId="0" fillId="0" borderId="0" xfId="0"/>
    <xf numFmtId="14" fontId="0" fillId="0" borderId="0" xfId="0" applyNumberFormat="1"/>
    <xf numFmtId="165" fontId="20" fillId="9" borderId="10" xfId="18" applyNumberFormat="1" applyFont="1" applyBorder="1"/>
    <xf numFmtId="164" fontId="18" fillId="9" borderId="10" xfId="18" applyNumberFormat="1" applyFont="1" applyBorder="1"/>
    <xf numFmtId="2" fontId="19" fillId="13" borderId="10" xfId="22" applyNumberFormat="1" applyFont="1" applyBorder="1"/>
    <xf numFmtId="165" fontId="13" fillId="13" borderId="10" xfId="22" applyNumberFormat="1" applyFont="1" applyBorder="1"/>
    <xf numFmtId="165" fontId="21" fillId="13" borderId="10" xfId="22" applyNumberFormat="1" applyFont="1" applyBorder="1"/>
    <xf numFmtId="0" fontId="18" fillId="17" borderId="10" xfId="26" applyNumberFormat="1" applyFont="1" applyBorder="1"/>
    <xf numFmtId="0" fontId="20" fillId="17" borderId="10" xfId="26" applyNumberFormat="1" applyFont="1" applyBorder="1"/>
    <xf numFmtId="0" fontId="0" fillId="33" borderId="11" xfId="0" applyFont="1" applyFill="1" applyBorder="1"/>
    <xf numFmtId="0" fontId="0" fillId="0" borderId="11" xfId="0" applyFont="1" applyBorder="1"/>
    <xf numFmtId="0" fontId="0" fillId="33" borderId="12" xfId="0" applyFont="1" applyFill="1" applyBorder="1"/>
    <xf numFmtId="0" fontId="0" fillId="0" borderId="12" xfId="0" applyFont="1" applyBorder="1"/>
    <xf numFmtId="0" fontId="0" fillId="33" borderId="13" xfId="0" applyFont="1" applyFill="1" applyBorder="1"/>
    <xf numFmtId="0" fontId="0" fillId="0" borderId="13" xfId="0" applyFont="1" applyBorder="1"/>
    <xf numFmtId="0" fontId="0" fillId="33" borderId="14" xfId="0" applyFont="1" applyFill="1" applyBorder="1"/>
    <xf numFmtId="0" fontId="0" fillId="33" borderId="15" xfId="0" applyFont="1" applyFill="1" applyBorder="1"/>
    <xf numFmtId="0" fontId="0" fillId="33" borderId="16" xfId="0" applyFont="1" applyFill="1" applyBorder="1"/>
    <xf numFmtId="0" fontId="0" fillId="33" borderId="17" xfId="0" applyFont="1" applyFill="1" applyBorder="1"/>
    <xf numFmtId="0" fontId="0" fillId="33" borderId="18" xfId="0" applyFont="1" applyFill="1" applyBorder="1"/>
    <xf numFmtId="0" fontId="0" fillId="33" borderId="19" xfId="0" applyFont="1" applyFill="1" applyBorder="1"/>
    <xf numFmtId="0" fontId="0" fillId="0" borderId="0" xfId="0" pivotButton="1"/>
    <xf numFmtId="0" fontId="0" fillId="0" borderId="0" xfId="0" applyAlignment="1">
      <alignment horizontal="left"/>
    </xf>
    <xf numFmtId="0" fontId="0" fillId="0" borderId="0" xfId="0" applyNumberFormat="1"/>
    <xf numFmtId="0" fontId="22" fillId="0" borderId="0" xfId="0" applyFont="1"/>
    <xf numFmtId="0" fontId="17" fillId="9" borderId="10" xfId="18" applyBorder="1"/>
    <xf numFmtId="0" fontId="17" fillId="17" borderId="10" xfId="26" applyBorder="1"/>
    <xf numFmtId="0" fontId="17" fillId="29" borderId="10" xfId="38" applyBorder="1"/>
    <xf numFmtId="4" fontId="18" fillId="29" borderId="20" xfId="38" applyNumberFormat="1" applyFont="1" applyBorder="1"/>
    <xf numFmtId="165" fontId="20" fillId="29" borderId="20" xfId="38" applyNumberFormat="1" applyFont="1" applyBorder="1"/>
    <xf numFmtId="0" fontId="17" fillId="13" borderId="10" xfId="22"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9" formatCode="m/d/yyyy"/>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style="thin">
          <color theme="9"/>
        </right>
        <top style="thin">
          <color theme="9"/>
        </top>
        <bottom style="thin">
          <color theme="9"/>
        </bottom>
        <vertical/>
        <horizontal/>
      </border>
    </dxf>
    <dxf>
      <border outline="0">
        <top style="thin">
          <color theme="9"/>
        </top>
      </border>
    </dxf>
    <dxf>
      <border outline="0">
        <left style="thin">
          <color theme="9"/>
        </left>
        <right style="thin">
          <color theme="9"/>
        </right>
        <top style="thin">
          <color theme="9"/>
        </top>
        <bottom style="thin">
          <color theme="9"/>
        </bottom>
      </border>
    </dxf>
    <dxf>
      <border outline="0">
        <bottom style="thin">
          <color theme="9"/>
        </bottom>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outline="0">
        <left style="thin">
          <color theme="9"/>
        </left>
        <right style="thin">
          <color theme="9"/>
        </right>
        <top/>
        <bottom/>
      </border>
    </dxf>
  </dxfs>
  <tableStyles count="0" defaultTableStyle="TableStyleMedium2" defaultPivotStyle="PivotStyleLight16"/>
  <colors>
    <mruColors>
      <color rgb="FFB1EFEC"/>
      <color rgb="FF000000"/>
      <color rgb="FFCCFFCC"/>
      <color rgb="FFD2CE32"/>
      <color rgb="FFE5EA16"/>
      <color rgb="FFB2EEB9"/>
      <color rgb="FFCC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[Sales_Data_Analysis_Dashboard.xlsx]Sheet2!PivotTable1</c:name>
    <c:fmtId val="3"/>
  </c:pivotSource>
  <c:chart>
    <c:title>
      <c:tx>
        <c:rich>
          <a:bodyPr/>
          <a:lstStyle/>
          <a:p>
            <a:pPr>
              <a:defRPr/>
            </a:pPr>
            <a:r>
              <a:rPr lang="en-US"/>
              <a:t>SALES BY PRODUCT</a:t>
            </a:r>
          </a:p>
        </c:rich>
      </c:tx>
      <c:layout>
        <c:manualLayout>
          <c:xMode val="edge"/>
          <c:yMode val="edge"/>
          <c:x val="0.35025000000000001"/>
          <c:y val="3.6089238845144356E-3"/>
        </c:manualLayout>
      </c:layout>
      <c:overlay val="1"/>
    </c:title>
    <c:autoTitleDeleted val="0"/>
    <c:pivotFmts>
      <c:pivotFmt>
        <c:idx val="0"/>
        <c:marker>
          <c:symbol val="none"/>
        </c:marker>
      </c:pivotFmt>
      <c:pivotFmt>
        <c:idx val="1"/>
        <c:spPr>
          <a:solidFill>
            <a:srgbClr val="FF0000"/>
          </a:solidFill>
          <a:ln w="25400" cap="flat" cmpd="sng" algn="ctr">
            <a:solidFill>
              <a:schemeClr val="dk1"/>
            </a:solidFill>
            <a:prstDash val="solid"/>
          </a:ln>
          <a:effectLst/>
        </c:spPr>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41028083989501313"/>
          <c:y val="0.2812711431904345"/>
          <c:w val="0.40838692038495195"/>
          <c:h val="0.625897127442403"/>
        </c:manualLayout>
      </c:layout>
      <c:barChart>
        <c:barDir val="bar"/>
        <c:grouping val="clustered"/>
        <c:varyColors val="0"/>
        <c:ser>
          <c:idx val="0"/>
          <c:order val="0"/>
          <c:tx>
            <c:strRef>
              <c:f>Sheet2!$B$3</c:f>
              <c:strCache>
                <c:ptCount val="1"/>
                <c:pt idx="0">
                  <c:v>Total</c:v>
                </c:pt>
              </c:strCache>
            </c:strRef>
          </c:tx>
          <c:spPr>
            <a:solidFill>
              <a:srgbClr val="FF0000"/>
            </a:solidFill>
            <a:ln w="25400" cap="flat" cmpd="sng" algn="ctr">
              <a:solidFill>
                <a:schemeClr val="dk1"/>
              </a:solidFill>
              <a:prstDash val="solid"/>
            </a:ln>
            <a:effectLst/>
          </c:spPr>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Sheet2!$A$4:$A$6</c:f>
              <c:strCache>
                <c:ptCount val="2"/>
                <c:pt idx="0">
                  <c:v>Laptop</c:v>
                </c:pt>
                <c:pt idx="1">
                  <c:v>Monitor</c:v>
                </c:pt>
              </c:strCache>
            </c:strRef>
          </c:cat>
          <c:val>
            <c:numRef>
              <c:f>Sheet2!$B$4:$B$6</c:f>
              <c:numCache>
                <c:formatCode>General</c:formatCode>
                <c:ptCount val="2"/>
                <c:pt idx="0">
                  <c:v>55000</c:v>
                </c:pt>
                <c:pt idx="1">
                  <c:v>36000</c:v>
                </c:pt>
              </c:numCache>
            </c:numRef>
          </c:val>
        </c:ser>
        <c:dLbls>
          <c:dLblPos val="outEnd"/>
          <c:showLegendKey val="0"/>
          <c:showVal val="1"/>
          <c:showCatName val="0"/>
          <c:showSerName val="0"/>
          <c:showPercent val="0"/>
          <c:showBubbleSize val="0"/>
        </c:dLbls>
        <c:gapWidth val="150"/>
        <c:axId val="140607872"/>
        <c:axId val="144044032"/>
      </c:barChart>
      <c:catAx>
        <c:axId val="140607872"/>
        <c:scaling>
          <c:orientation val="minMax"/>
        </c:scaling>
        <c:delete val="0"/>
        <c:axPos val="l"/>
        <c:majorTickMark val="out"/>
        <c:minorTickMark val="none"/>
        <c:tickLblPos val="nextTo"/>
        <c:crossAx val="144044032"/>
        <c:crosses val="autoZero"/>
        <c:auto val="1"/>
        <c:lblAlgn val="ctr"/>
        <c:lblOffset val="100"/>
        <c:noMultiLvlLbl val="0"/>
      </c:catAx>
      <c:valAx>
        <c:axId val="144044032"/>
        <c:scaling>
          <c:orientation val="minMax"/>
        </c:scaling>
        <c:delete val="0"/>
        <c:axPos val="b"/>
        <c:majorGridlines/>
        <c:numFmt formatCode="General" sourceLinked="1"/>
        <c:majorTickMark val="out"/>
        <c:minorTickMark val="none"/>
        <c:tickLblPos val="nextTo"/>
        <c:crossAx val="140607872"/>
        <c:crosses val="autoZero"/>
        <c:crossBetween val="between"/>
      </c:valAx>
    </c:plotArea>
    <c:legend>
      <c:legendPos val="r"/>
      <c:layout>
        <c:manualLayout>
          <c:xMode val="edge"/>
          <c:yMode val="edge"/>
          <c:x val="0.82202887139107617"/>
          <c:y val="0.17574438611840187"/>
          <c:w val="0.1501933508311461"/>
          <c:h val="0.10107830271216098"/>
        </c:manualLayout>
      </c:layout>
      <c:overlay val="0"/>
    </c:legend>
    <c:plotVisOnly val="1"/>
    <c:dispBlanksAs val="gap"/>
    <c:showDLblsOverMax val="0"/>
  </c:chart>
  <c:spPr>
    <a:solidFill>
      <a:srgbClr val="B1EFEC"/>
    </a:solidFill>
    <a:ln w="25400" cap="flat" cmpd="sng" algn="ctr">
      <a:solidFill>
        <a:schemeClr val="accent2"/>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[Sales_Data_Analysis_Dashboard.xlsx]Sheet3!PivotTable2</c:name>
    <c:fmtId val="1"/>
  </c:pivotSource>
  <c:chart>
    <c:title>
      <c:tx>
        <c:rich>
          <a:bodyPr/>
          <a:lstStyle/>
          <a:p>
            <a:pPr>
              <a:defRPr/>
            </a:pPr>
            <a:r>
              <a:rPr lang="en-US"/>
              <a:t>SALES BY REGION</a:t>
            </a:r>
          </a:p>
        </c:rich>
      </c:tx>
      <c:layout>
        <c:manualLayout>
          <c:xMode val="edge"/>
          <c:yMode val="edge"/>
          <c:x val="0.37909711286089243"/>
          <c:y val="3.6089238845144356E-3"/>
        </c:manualLayout>
      </c:layout>
      <c:overlay val="0"/>
    </c:title>
    <c:autoTitleDeleted val="0"/>
    <c:pivotFmts>
      <c:pivotFmt>
        <c:idx val="0"/>
        <c:marker>
          <c:symbol val="none"/>
        </c:marker>
      </c:pivotFmt>
      <c:pivotFmt>
        <c:idx val="1"/>
        <c:spPr>
          <a:solidFill>
            <a:srgbClr val="00B050"/>
          </a:solidFill>
          <a:ln w="25400" cap="flat" cmpd="sng" algn="ctr">
            <a:solidFill>
              <a:schemeClr val="dk1"/>
            </a:solidFill>
            <a:prstDash val="solid"/>
          </a:ln>
          <a:effectLst/>
        </c:spPr>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Sheet3!$B$3</c:f>
              <c:strCache>
                <c:ptCount val="1"/>
                <c:pt idx="0">
                  <c:v>Total</c:v>
                </c:pt>
              </c:strCache>
            </c:strRef>
          </c:tx>
          <c:spPr>
            <a:solidFill>
              <a:srgbClr val="00B050"/>
            </a:solidFill>
            <a:ln w="25400" cap="flat" cmpd="sng" algn="ctr">
              <a:solidFill>
                <a:schemeClr val="dk1"/>
              </a:solidFill>
              <a:prstDash val="solid"/>
            </a:ln>
            <a:effectLst/>
          </c:spPr>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Sheet3!$A$4:$A$5</c:f>
              <c:strCache>
                <c:ptCount val="1"/>
                <c:pt idx="0">
                  <c:v>West</c:v>
                </c:pt>
              </c:strCache>
            </c:strRef>
          </c:cat>
          <c:val>
            <c:numRef>
              <c:f>Sheet3!$B$4:$B$5</c:f>
              <c:numCache>
                <c:formatCode>General</c:formatCode>
                <c:ptCount val="1"/>
                <c:pt idx="0">
                  <c:v>91000</c:v>
                </c:pt>
              </c:numCache>
            </c:numRef>
          </c:val>
        </c:ser>
        <c:dLbls>
          <c:dLblPos val="outEnd"/>
          <c:showLegendKey val="0"/>
          <c:showVal val="1"/>
          <c:showCatName val="0"/>
          <c:showSerName val="0"/>
          <c:showPercent val="0"/>
          <c:showBubbleSize val="0"/>
        </c:dLbls>
        <c:gapWidth val="150"/>
        <c:axId val="208083200"/>
        <c:axId val="208127104"/>
      </c:barChart>
      <c:catAx>
        <c:axId val="208083200"/>
        <c:scaling>
          <c:orientation val="minMax"/>
        </c:scaling>
        <c:delete val="0"/>
        <c:axPos val="l"/>
        <c:majorTickMark val="out"/>
        <c:minorTickMark val="none"/>
        <c:tickLblPos val="nextTo"/>
        <c:crossAx val="208127104"/>
        <c:crosses val="autoZero"/>
        <c:auto val="1"/>
        <c:lblAlgn val="ctr"/>
        <c:lblOffset val="100"/>
        <c:noMultiLvlLbl val="0"/>
      </c:catAx>
      <c:valAx>
        <c:axId val="208127104"/>
        <c:scaling>
          <c:orientation val="minMax"/>
        </c:scaling>
        <c:delete val="0"/>
        <c:axPos val="b"/>
        <c:majorGridlines/>
        <c:numFmt formatCode="General" sourceLinked="1"/>
        <c:majorTickMark val="out"/>
        <c:minorTickMark val="none"/>
        <c:tickLblPos val="nextTo"/>
        <c:crossAx val="208083200"/>
        <c:crosses val="autoZero"/>
        <c:crossBetween val="between"/>
      </c:valAx>
      <c:spPr>
        <a:solidFill>
          <a:schemeClr val="lt1"/>
        </a:solidFill>
        <a:ln w="25400" cap="flat" cmpd="sng" algn="ctr">
          <a:solidFill>
            <a:schemeClr val="accent6"/>
          </a:solidFill>
          <a:prstDash val="solid"/>
        </a:ln>
        <a:effectLst/>
      </c:spPr>
    </c:plotArea>
    <c:legend>
      <c:legendPos val="r"/>
      <c:layout>
        <c:manualLayout>
          <c:xMode val="edge"/>
          <c:yMode val="edge"/>
          <c:x val="0.82202887139107617"/>
          <c:y val="0.17574438611840187"/>
          <c:w val="0.16130446194225723"/>
          <c:h val="0.13348571011956839"/>
        </c:manualLayout>
      </c:layout>
      <c:overlay val="0"/>
    </c:legend>
    <c:plotVisOnly val="1"/>
    <c:dispBlanksAs val="gap"/>
    <c:showDLblsOverMax val="0"/>
  </c:chart>
  <c:spPr>
    <a:solidFill>
      <a:schemeClr val="tx2">
        <a:lumMod val="40000"/>
        <a:lumOff val="60000"/>
      </a:schemeClr>
    </a:solidFill>
    <a:ln w="25400" cap="flat" cmpd="sng" algn="ctr">
      <a:solidFill>
        <a:schemeClr val="accent2"/>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257175</xdr:colOff>
      <xdr:row>4</xdr:row>
      <xdr:rowOff>161926</xdr:rowOff>
    </xdr:from>
    <xdr:ext cx="1504950" cy="381000"/>
    <xdr:sp macro="" textlink="">
      <xdr:nvSpPr>
        <xdr:cNvPr id="15" name="TextBox 14"/>
        <xdr:cNvSpPr txBox="1"/>
      </xdr:nvSpPr>
      <xdr:spPr>
        <a:xfrm>
          <a:off x="9982200" y="923926"/>
          <a:ext cx="150495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endParaRPr lang="en-US" sz="105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xdr:colOff>
      <xdr:row>8</xdr:row>
      <xdr:rowOff>47625</xdr:rowOff>
    </xdr:from>
    <xdr:to>
      <xdr:col>3</xdr:col>
      <xdr:colOff>1562100</xdr:colOff>
      <xdr:row>22</xdr:row>
      <xdr:rowOff>123825</xdr:rowOff>
    </xdr:to>
    <xdr:graphicFrame macro="">
      <xdr:nvGraphicFramePr>
        <xdr:cNvPr id="9"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xdr:colOff>
      <xdr:row>8</xdr:row>
      <xdr:rowOff>38100</xdr:rowOff>
    </xdr:from>
    <xdr:to>
      <xdr:col>7</xdr:col>
      <xdr:colOff>1704975</xdr:colOff>
      <xdr:row>22</xdr:row>
      <xdr:rowOff>114300</xdr:rowOff>
    </xdr:to>
    <xdr:graphicFrame macro="">
      <xdr:nvGraphicFramePr>
        <xdr:cNvPr id="1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1809750</xdr:colOff>
      <xdr:row>6</xdr:row>
      <xdr:rowOff>0</xdr:rowOff>
    </xdr:from>
    <xdr:to>
      <xdr:col>10</xdr:col>
      <xdr:colOff>152400</xdr:colOff>
      <xdr:row>19</xdr:row>
      <xdr:rowOff>9525</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82125" y="1362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31</xdr:row>
      <xdr:rowOff>28575</xdr:rowOff>
    </xdr:from>
    <xdr:to>
      <xdr:col>4</xdr:col>
      <xdr:colOff>323850</xdr:colOff>
      <xdr:row>44</xdr:row>
      <xdr:rowOff>76200</xdr:rowOff>
    </xdr:to>
    <mc:AlternateContent xmlns:mc="http://schemas.openxmlformats.org/markup-compatibility/2006" xmlns:a14="http://schemas.microsoft.com/office/drawing/2010/main">
      <mc:Choice Requires="a14">
        <xdr:graphicFrame macro="">
          <xdr:nvGraphicFramePr>
            <xdr:cNvPr id="1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14675" y="6191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28576</xdr:rowOff>
    </xdr:from>
    <xdr:to>
      <xdr:col>3</xdr:col>
      <xdr:colOff>1590675</xdr:colOff>
      <xdr:row>8</xdr:row>
      <xdr:rowOff>47626</xdr:rowOff>
    </xdr:to>
    <xdr:sp macro="" textlink="">
      <xdr:nvSpPr>
        <xdr:cNvPr id="13" name="Rectangle 12"/>
        <xdr:cNvSpPr/>
      </xdr:nvSpPr>
      <xdr:spPr>
        <a:xfrm>
          <a:off x="0" y="1390651"/>
          <a:ext cx="4610100" cy="438150"/>
        </a:xfrm>
        <a:prstGeom prst="rect">
          <a:avLst/>
        </a:prstGeom>
        <a:solidFill>
          <a:srgbClr val="00B05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latin typeface="Arial" pitchFamily="34" charset="0"/>
              <a:cs typeface="Arial" pitchFamily="34" charset="0"/>
            </a:rPr>
            <a:t>PRODUCT-WISE</a:t>
          </a:r>
          <a:r>
            <a:rPr lang="en-US" sz="1800" baseline="0">
              <a:latin typeface="Arial" pitchFamily="34" charset="0"/>
              <a:cs typeface="Arial" pitchFamily="34" charset="0"/>
            </a:rPr>
            <a:t> SALES ANALYSIS</a:t>
          </a:r>
          <a:endParaRPr lang="en-US" sz="1800">
            <a:latin typeface="Arial" pitchFamily="34" charset="0"/>
            <a:cs typeface="Arial" pitchFamily="34" charset="0"/>
          </a:endParaRPr>
        </a:p>
      </xdr:txBody>
    </xdr:sp>
    <xdr:clientData/>
  </xdr:twoCellAnchor>
  <xdr:twoCellAnchor>
    <xdr:from>
      <xdr:col>4</xdr:col>
      <xdr:colOff>95250</xdr:colOff>
      <xdr:row>6</xdr:row>
      <xdr:rowOff>28576</xdr:rowOff>
    </xdr:from>
    <xdr:to>
      <xdr:col>7</xdr:col>
      <xdr:colOff>1704974</xdr:colOff>
      <xdr:row>8</xdr:row>
      <xdr:rowOff>28575</xdr:rowOff>
    </xdr:to>
    <xdr:sp macro="" textlink="">
      <xdr:nvSpPr>
        <xdr:cNvPr id="14" name="Rectangle 13"/>
        <xdr:cNvSpPr/>
      </xdr:nvSpPr>
      <xdr:spPr>
        <a:xfrm flipH="1">
          <a:off x="4714875" y="1390651"/>
          <a:ext cx="4562474" cy="419099"/>
        </a:xfrm>
        <a:prstGeom prst="rect">
          <a:avLst/>
        </a:prstGeom>
        <a:solidFill>
          <a:srgbClr val="FF0000"/>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latin typeface="Arial" pitchFamily="34" charset="0"/>
              <a:cs typeface="Arial" pitchFamily="34" charset="0"/>
            </a:rPr>
            <a:t>REGION-WISE</a:t>
          </a:r>
          <a:r>
            <a:rPr lang="en-US" sz="1800" baseline="0">
              <a:latin typeface="Arial" pitchFamily="34" charset="0"/>
              <a:cs typeface="Arial" pitchFamily="34" charset="0"/>
            </a:rPr>
            <a:t> SALES ANALYSIS</a:t>
          </a:r>
          <a:endParaRPr lang="en-US" sz="1800">
            <a:latin typeface="Arial" pitchFamily="34" charset="0"/>
            <a:cs typeface="Arial" pitchFamily="34" charset="0"/>
          </a:endParaRPr>
        </a:p>
      </xdr:txBody>
    </xdr:sp>
    <xdr:clientData/>
  </xdr:twoCellAnchor>
  <xdr:twoCellAnchor>
    <xdr:from>
      <xdr:col>0</xdr:col>
      <xdr:colOff>19050</xdr:colOff>
      <xdr:row>0</xdr:row>
      <xdr:rowOff>1</xdr:rowOff>
    </xdr:from>
    <xdr:to>
      <xdr:col>7</xdr:col>
      <xdr:colOff>2200275</xdr:colOff>
      <xdr:row>1</xdr:row>
      <xdr:rowOff>66675</xdr:rowOff>
    </xdr:to>
    <xdr:sp macro="" textlink="">
      <xdr:nvSpPr>
        <xdr:cNvPr id="15" name="Rectangle 14"/>
        <xdr:cNvSpPr/>
      </xdr:nvSpPr>
      <xdr:spPr>
        <a:xfrm>
          <a:off x="19050" y="1"/>
          <a:ext cx="9753600" cy="2571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FF00"/>
              </a:solidFill>
              <a:latin typeface="Arial" pitchFamily="34" charset="0"/>
              <a:cs typeface="Arial" pitchFamily="34" charset="0"/>
            </a:rPr>
            <a:t>SALES</a:t>
          </a:r>
          <a:r>
            <a:rPr lang="en-US" sz="1100" baseline="0">
              <a:solidFill>
                <a:srgbClr val="FFFF00"/>
              </a:solidFill>
              <a:latin typeface="Arial" pitchFamily="34" charset="0"/>
              <a:cs typeface="Arial" pitchFamily="34" charset="0"/>
            </a:rPr>
            <a:t> ANALYSIS  DASHBOARD</a:t>
          </a:r>
          <a:endParaRPr lang="en-US" sz="1100">
            <a:solidFill>
              <a:srgbClr val="FFFF00"/>
            </a:solidFill>
            <a:latin typeface="Arial" pitchFamily="34" charset="0"/>
            <a:cs typeface="Arial"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oshiba" refreshedDate="46310.747772685187" createdVersion="4" refreshedVersion="4" minRefreshableVersion="3" recordCount="10">
  <cacheSource type="worksheet">
    <worksheetSource name="Table6"/>
  </cacheSource>
  <cacheFields count="8">
    <cacheField name="sale_id" numFmtId="0">
      <sharedItems containsSemiMixedTypes="0" containsString="0" containsNumber="1" containsInteger="1" minValue="1" maxValue="10"/>
    </cacheField>
    <cacheField name="sale_date" numFmtId="14">
      <sharedItems containsSemiMixedTypes="0" containsNonDate="0" containsDate="1" containsString="0" minDate="2026-01-05T00:00:00" maxDate="2026-03-26T00:00:00"/>
    </cacheField>
    <cacheField name="product_name" numFmtId="0">
      <sharedItems count="6">
        <s v="Laptop"/>
        <s v="Mouse"/>
        <s v="Keyboard"/>
        <s v="Mobile"/>
        <s v="Headphones"/>
        <s v="Monitor"/>
      </sharedItems>
    </cacheField>
    <cacheField name="category" numFmtId="0">
      <sharedItems/>
    </cacheField>
    <cacheField name="quantity" numFmtId="0">
      <sharedItems containsSemiMixedTypes="0" containsString="0" containsNumber="1" containsInteger="1" minValue="1" maxValue="6"/>
    </cacheField>
    <cacheField name="price" numFmtId="0">
      <sharedItems containsSemiMixedTypes="0" containsString="0" containsNumber="1" containsInteger="1" minValue="500" maxValue="55000"/>
    </cacheField>
    <cacheField name="region" numFmtId="0">
      <sharedItems count="4">
        <s v="North"/>
        <s v="South"/>
        <s v="East"/>
        <s v="West"/>
      </sharedItems>
    </cacheField>
    <cacheField name="Total_Sales" numFmtId="0">
      <sharedItems containsSemiMixedTypes="0" containsString="0" containsNumber="1" containsInteger="1" minValue="2000" maxValue="11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
    <d v="2026-01-05T00:00:00"/>
    <x v="0"/>
    <s v="Electronics"/>
    <n v="2"/>
    <n v="55000"/>
    <x v="0"/>
    <n v="110000"/>
  </r>
  <r>
    <n v="2"/>
    <d v="2026-01-07T00:00:00"/>
    <x v="1"/>
    <s v="Accessories"/>
    <n v="5"/>
    <n v="500"/>
    <x v="1"/>
    <n v="2500"/>
  </r>
  <r>
    <n v="3"/>
    <d v="2026-01-10T00:00:00"/>
    <x v="2"/>
    <s v="Accessories"/>
    <n v="3"/>
    <n v="1200"/>
    <x v="0"/>
    <n v="3600"/>
  </r>
  <r>
    <n v="4"/>
    <d v="2026-02-02T00:00:00"/>
    <x v="3"/>
    <s v="Electronics"/>
    <n v="4"/>
    <n v="18000"/>
    <x v="2"/>
    <n v="72000"/>
  </r>
  <r>
    <n v="5"/>
    <d v="2026-02-08T00:00:00"/>
    <x v="0"/>
    <s v="Electronics"/>
    <n v="1"/>
    <n v="55000"/>
    <x v="3"/>
    <n v="55000"/>
  </r>
  <r>
    <n v="6"/>
    <d v="2026-02-15T00:00:00"/>
    <x v="4"/>
    <s v="Accessories"/>
    <n v="6"/>
    <n v="1500"/>
    <x v="1"/>
    <n v="9000"/>
  </r>
  <r>
    <n v="7"/>
    <d v="2026-03-01T00:00:00"/>
    <x v="3"/>
    <s v="Electronics"/>
    <n v="2"/>
    <n v="18000"/>
    <x v="0"/>
    <n v="36000"/>
  </r>
  <r>
    <n v="8"/>
    <d v="2026-03-12T00:00:00"/>
    <x v="5"/>
    <s v="Electronics"/>
    <n v="3"/>
    <n v="12000"/>
    <x v="3"/>
    <n v="36000"/>
  </r>
  <r>
    <n v="9"/>
    <d v="2026-03-18T00:00:00"/>
    <x v="1"/>
    <s v="Accessories"/>
    <n v="4"/>
    <n v="500"/>
    <x v="2"/>
    <n v="2000"/>
  </r>
  <r>
    <n v="10"/>
    <d v="2026-03-25T00:00:00"/>
    <x v="2"/>
    <s v="Accessories"/>
    <n v="2"/>
    <n v="1200"/>
    <x v="0"/>
    <n v="2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6" firstHeaderRow="1" firstDataRow="1" firstDataCol="1"/>
  <pivotFields count="8">
    <pivotField showAll="0"/>
    <pivotField numFmtId="14" showAll="0"/>
    <pivotField axis="axisRow" showAll="0" sortType="descending">
      <items count="7">
        <item x="4"/>
        <item x="2"/>
        <item x="0"/>
        <item x="3"/>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h="1" x="2"/>
        <item h="1" x="0"/>
        <item h="1" x="1"/>
        <item x="3"/>
        <item t="default"/>
      </items>
    </pivotField>
    <pivotField dataField="1" showAll="0"/>
  </pivotFields>
  <rowFields count="1">
    <field x="2"/>
  </rowFields>
  <rowItems count="3">
    <i>
      <x v="2"/>
    </i>
    <i>
      <x v="4"/>
    </i>
    <i t="grand">
      <x/>
    </i>
  </rowItems>
  <colItems count="1">
    <i/>
  </colItems>
  <dataFields count="1">
    <dataField name="Sum of Total_Sales" fld="7"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3:B5" firstHeaderRow="1" firstDataRow="1" firstDataCol="1"/>
  <pivotFields count="8">
    <pivotField showAll="0"/>
    <pivotField numFmtId="14" showAll="0"/>
    <pivotField showAll="0"/>
    <pivotField showAll="0"/>
    <pivotField showAll="0"/>
    <pivotField showAll="0"/>
    <pivotField axis="axisRow" showAll="0" sortType="descending">
      <items count="5">
        <item h="1" x="2"/>
        <item h="1" x="0"/>
        <item h="1" x="1"/>
        <item x="3"/>
        <item t="default"/>
      </items>
      <autoSortScope>
        <pivotArea dataOnly="0" outline="0" fieldPosition="0">
          <references count="1">
            <reference field="4294967294" count="1" selected="0">
              <x v="0"/>
            </reference>
          </references>
        </pivotArea>
      </autoSortScope>
    </pivotField>
    <pivotField dataField="1" showAll="0"/>
  </pivotFields>
  <rowFields count="1">
    <field x="6"/>
  </rowFields>
  <rowItems count="2">
    <i>
      <x v="3"/>
    </i>
    <i t="grand">
      <x/>
    </i>
  </rowItems>
  <colItems count="1">
    <i/>
  </colItems>
  <dataFields count="1">
    <dataField name="Sum of Total_Sales"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6" name="PivotTable2"/>
  </pivotTables>
  <data>
    <tabular pivotCacheId="1">
      <items count="4">
        <i x="2"/>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region 1" cache="Slicer_region" caption="region" rowHeight="241300"/>
</slicers>
</file>

<file path=xl/tables/table1.xml><?xml version="1.0" encoding="utf-8"?>
<table xmlns="http://schemas.openxmlformats.org/spreadsheetml/2006/main" id="3" name="Table3" displayName="Table3" ref="B16:D22" totalsRowShown="0" headerRowDxfId="7" headerRowBorderDxfId="6" tableBorderDxfId="5" totalsRowBorderDxfId="4">
  <autoFilter ref="B16:D22"/>
  <sortState ref="B17:D22">
    <sortCondition ref="B16:B22"/>
  </sortState>
  <tableColumns count="3">
    <tableColumn id="1" name="SERIAL NUMBER" dataDxfId="3"/>
    <tableColumn id="2" name="Product_Name" dataDxfId="2"/>
    <tableColumn id="3" name="Total_Sales" dataDxfId="1">
      <calculatedColumnFormula>SUMIF($C$2:$C$11, C17, $H$2:$H$11)</calculatedColumnFormula>
    </tableColumn>
  </tableColumns>
  <tableStyleInfo name="TableStyleLight2" showFirstColumn="0" showLastColumn="0" showRowStripes="1" showColumnStripes="0"/>
</table>
</file>

<file path=xl/tables/table2.xml><?xml version="1.0" encoding="utf-8"?>
<table xmlns="http://schemas.openxmlformats.org/spreadsheetml/2006/main" id="4" name="Table4" displayName="Table4" ref="B27:D31" totalsRowShown="0">
  <autoFilter ref="B27:D31"/>
  <tableColumns count="3">
    <tableColumn id="1" name="SERIAL NUMBER"/>
    <tableColumn id="2" name="Region"/>
    <tableColumn id="3" name="Total_Sales">
      <calculatedColumnFormula>SUMIF($G$2:$G37, C28, $H$2:$H36)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6" name="Table6" displayName="Table6" ref="A1:H11" totalsRowShown="0">
  <autoFilter ref="A1:H11"/>
  <tableColumns count="8">
    <tableColumn id="1" name="sale_id"/>
    <tableColumn id="2" name="sale_date" dataDxfId="0"/>
    <tableColumn id="3" name="product_name"/>
    <tableColumn id="4" name="category"/>
    <tableColumn id="5" name="quantity"/>
    <tableColumn id="6" name="price"/>
    <tableColumn id="7" name="region"/>
    <tableColumn id="8" name="Total_Sales">
      <calculatedColumnFormula>SUM(E2*F2)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tabSelected="1" workbookViewId="0">
      <selection activeCell="K12" sqref="K12"/>
    </sheetView>
  </sheetViews>
  <sheetFormatPr defaultRowHeight="15" x14ac:dyDescent="0.25"/>
  <cols>
    <col min="2" max="2" width="12.42578125" customWidth="1"/>
    <col min="3" max="3" width="14" customWidth="1"/>
    <col min="4" max="4" width="12.140625" customWidth="1"/>
    <col min="7" max="7" width="14.140625" customWidth="1"/>
    <col min="8" max="8" width="29.5703125" customWidth="1"/>
    <col min="9" max="9" width="10.85546875" customWidth="1"/>
    <col min="10" max="10" width="13.140625" customWidth="1"/>
    <col min="11" max="11" width="25.5703125" bestFit="1" customWidth="1"/>
    <col min="12" max="12" width="16.140625" customWidth="1"/>
  </cols>
  <sheetData>
    <row r="1" spans="1:11" x14ac:dyDescent="0.25">
      <c r="A1" t="s">
        <v>0</v>
      </c>
      <c r="B1" t="s">
        <v>1</v>
      </c>
      <c r="C1" t="s">
        <v>2</v>
      </c>
      <c r="D1" t="s">
        <v>3</v>
      </c>
      <c r="E1" t="s">
        <v>4</v>
      </c>
      <c r="F1" t="s">
        <v>5</v>
      </c>
      <c r="G1" t="s">
        <v>6</v>
      </c>
      <c r="H1" t="s">
        <v>19</v>
      </c>
    </row>
    <row r="2" spans="1:11" x14ac:dyDescent="0.25">
      <c r="A2">
        <v>1</v>
      </c>
      <c r="B2" s="1">
        <v>46027</v>
      </c>
      <c r="C2" t="s">
        <v>7</v>
      </c>
      <c r="D2" t="s">
        <v>8</v>
      </c>
      <c r="E2">
        <v>2</v>
      </c>
      <c r="F2">
        <v>55000</v>
      </c>
      <c r="G2" t="s">
        <v>9</v>
      </c>
      <c r="H2">
        <f>SUM(E2*F2)</f>
        <v>110000</v>
      </c>
    </row>
    <row r="3" spans="1:11" x14ac:dyDescent="0.25">
      <c r="A3">
        <v>2</v>
      </c>
      <c r="B3" s="1">
        <v>46029</v>
      </c>
      <c r="C3" t="s">
        <v>10</v>
      </c>
      <c r="D3" t="s">
        <v>11</v>
      </c>
      <c r="E3">
        <v>5</v>
      </c>
      <c r="F3">
        <v>500</v>
      </c>
      <c r="G3" t="s">
        <v>12</v>
      </c>
      <c r="H3">
        <f t="shared" ref="H3:H11" si="0">SUM(E3*F3)</f>
        <v>2500</v>
      </c>
      <c r="J3" t="s">
        <v>29</v>
      </c>
      <c r="K3" t="s">
        <v>23</v>
      </c>
    </row>
    <row r="4" spans="1:11" x14ac:dyDescent="0.25">
      <c r="A4">
        <v>3</v>
      </c>
      <c r="B4" s="1">
        <v>46032</v>
      </c>
      <c r="C4" t="s">
        <v>13</v>
      </c>
      <c r="D4" t="s">
        <v>11</v>
      </c>
      <c r="E4">
        <v>3</v>
      </c>
      <c r="F4">
        <v>1200</v>
      </c>
      <c r="G4" t="s">
        <v>9</v>
      </c>
      <c r="H4">
        <f t="shared" si="0"/>
        <v>3600</v>
      </c>
      <c r="J4" t="s">
        <v>26</v>
      </c>
      <c r="K4">
        <f t="shared" ref="K4:K9" si="1">SUMIF($C$2:$C$11,J4,$H$2:$H$11)</f>
        <v>165000</v>
      </c>
    </row>
    <row r="5" spans="1:11" x14ac:dyDescent="0.25">
      <c r="A5">
        <v>4</v>
      </c>
      <c r="B5" s="1">
        <v>46055</v>
      </c>
      <c r="C5" t="s">
        <v>14</v>
      </c>
      <c r="D5" t="s">
        <v>8</v>
      </c>
      <c r="E5">
        <v>4</v>
      </c>
      <c r="F5">
        <v>18000</v>
      </c>
      <c r="G5" t="s">
        <v>15</v>
      </c>
      <c r="H5">
        <f t="shared" si="0"/>
        <v>72000</v>
      </c>
      <c r="J5" t="s">
        <v>36</v>
      </c>
      <c r="K5">
        <f t="shared" si="1"/>
        <v>4500</v>
      </c>
    </row>
    <row r="6" spans="1:11" x14ac:dyDescent="0.25">
      <c r="A6">
        <v>5</v>
      </c>
      <c r="B6" s="1">
        <v>46061</v>
      </c>
      <c r="C6" t="s">
        <v>7</v>
      </c>
      <c r="D6" t="s">
        <v>8</v>
      </c>
      <c r="E6">
        <v>1</v>
      </c>
      <c r="F6">
        <v>55000</v>
      </c>
      <c r="G6" t="s">
        <v>16</v>
      </c>
      <c r="H6">
        <f t="shared" si="0"/>
        <v>55000</v>
      </c>
      <c r="J6" t="s">
        <v>37</v>
      </c>
      <c r="K6">
        <f t="shared" si="1"/>
        <v>108000</v>
      </c>
    </row>
    <row r="7" spans="1:11" x14ac:dyDescent="0.25">
      <c r="A7">
        <v>6</v>
      </c>
      <c r="B7" s="1">
        <v>46068</v>
      </c>
      <c r="C7" t="s">
        <v>17</v>
      </c>
      <c r="D7" t="s">
        <v>11</v>
      </c>
      <c r="E7">
        <v>6</v>
      </c>
      <c r="F7">
        <v>1500</v>
      </c>
      <c r="G7" t="s">
        <v>12</v>
      </c>
      <c r="H7">
        <f t="shared" si="0"/>
        <v>9000</v>
      </c>
      <c r="J7" t="s">
        <v>38</v>
      </c>
      <c r="K7">
        <f t="shared" si="1"/>
        <v>36000</v>
      </c>
    </row>
    <row r="8" spans="1:11" x14ac:dyDescent="0.25">
      <c r="A8">
        <v>7</v>
      </c>
      <c r="B8" s="1">
        <v>46082</v>
      </c>
      <c r="C8" t="s">
        <v>14</v>
      </c>
      <c r="D8" t="s">
        <v>8</v>
      </c>
      <c r="E8">
        <v>2</v>
      </c>
      <c r="F8">
        <v>18000</v>
      </c>
      <c r="G8" t="s">
        <v>9</v>
      </c>
      <c r="H8">
        <f t="shared" si="0"/>
        <v>36000</v>
      </c>
      <c r="J8" t="s">
        <v>39</v>
      </c>
      <c r="K8">
        <f t="shared" si="1"/>
        <v>6000</v>
      </c>
    </row>
    <row r="9" spans="1:11" x14ac:dyDescent="0.25">
      <c r="A9">
        <v>8</v>
      </c>
      <c r="B9" s="1">
        <v>46093</v>
      </c>
      <c r="C9" t="s">
        <v>18</v>
      </c>
      <c r="D9" t="s">
        <v>8</v>
      </c>
      <c r="E9">
        <v>3</v>
      </c>
      <c r="F9">
        <v>12000</v>
      </c>
      <c r="G9" t="s">
        <v>16</v>
      </c>
      <c r="H9">
        <f t="shared" si="0"/>
        <v>36000</v>
      </c>
      <c r="J9" t="s">
        <v>40</v>
      </c>
      <c r="K9">
        <f t="shared" si="1"/>
        <v>9000</v>
      </c>
    </row>
    <row r="10" spans="1:11" x14ac:dyDescent="0.25">
      <c r="A10">
        <v>9</v>
      </c>
      <c r="B10" s="1">
        <v>46099</v>
      </c>
      <c r="C10" t="s">
        <v>10</v>
      </c>
      <c r="D10" t="s">
        <v>11</v>
      </c>
      <c r="E10">
        <v>4</v>
      </c>
      <c r="F10">
        <v>500</v>
      </c>
      <c r="G10" t="s">
        <v>15</v>
      </c>
      <c r="H10">
        <f t="shared" si="0"/>
        <v>2000</v>
      </c>
    </row>
    <row r="11" spans="1:11" x14ac:dyDescent="0.25">
      <c r="A11">
        <v>10</v>
      </c>
      <c r="B11" s="1">
        <v>46106</v>
      </c>
      <c r="C11" t="s">
        <v>13</v>
      </c>
      <c r="D11" t="s">
        <v>11</v>
      </c>
      <c r="E11">
        <v>2</v>
      </c>
      <c r="F11">
        <v>1200</v>
      </c>
      <c r="G11" t="s">
        <v>9</v>
      </c>
      <c r="H11">
        <f t="shared" si="0"/>
        <v>2400</v>
      </c>
    </row>
    <row r="13" spans="1:11" x14ac:dyDescent="0.25">
      <c r="H13" t="s">
        <v>23</v>
      </c>
      <c r="I13">
        <f>SUM(H1:H11)</f>
        <v>328500</v>
      </c>
    </row>
    <row r="14" spans="1:11" x14ac:dyDescent="0.25">
      <c r="H14" t="s">
        <v>34</v>
      </c>
      <c r="I14">
        <f>AVERAGE(H2:H11)</f>
        <v>32850</v>
      </c>
    </row>
    <row r="15" spans="1:11" x14ac:dyDescent="0.25">
      <c r="H15" t="s">
        <v>24</v>
      </c>
      <c r="I15">
        <f>COUNT(A2:A11)</f>
        <v>10</v>
      </c>
    </row>
    <row r="16" spans="1:11" x14ac:dyDescent="0.25">
      <c r="H16" t="s">
        <v>35</v>
      </c>
      <c r="I16">
        <f>MAX(K4:K8)</f>
        <v>165000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2" sqref="B2"/>
    </sheetView>
  </sheetViews>
  <sheetFormatPr defaultRowHeight="15" x14ac:dyDescent="0.25"/>
  <cols>
    <col min="1" max="1" width="13.140625" customWidth="1"/>
    <col min="2" max="2" width="17.85546875" bestFit="1" customWidth="1"/>
  </cols>
  <sheetData>
    <row r="3" spans="1:2" x14ac:dyDescent="0.25">
      <c r="A3" s="21" t="s">
        <v>31</v>
      </c>
      <c r="B3" t="s">
        <v>33</v>
      </c>
    </row>
    <row r="4" spans="1:2" x14ac:dyDescent="0.25">
      <c r="A4" s="22" t="s">
        <v>7</v>
      </c>
      <c r="B4" s="23">
        <v>55000</v>
      </c>
    </row>
    <row r="5" spans="1:2" x14ac:dyDescent="0.25">
      <c r="A5" s="22" t="s">
        <v>18</v>
      </c>
      <c r="B5" s="23">
        <v>36000</v>
      </c>
    </row>
    <row r="6" spans="1:2" x14ac:dyDescent="0.25">
      <c r="A6" s="22" t="s">
        <v>32</v>
      </c>
      <c r="B6" s="23">
        <v>91000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topLeftCell="A4" workbookViewId="0">
      <selection activeCell="C33" sqref="C33"/>
    </sheetView>
  </sheetViews>
  <sheetFormatPr defaultRowHeight="15" x14ac:dyDescent="0.25"/>
  <cols>
    <col min="1" max="1" width="13.140625" bestFit="1" customWidth="1"/>
    <col min="2" max="2" width="17.85546875" bestFit="1" customWidth="1"/>
  </cols>
  <sheetData>
    <row r="3" spans="1:2" x14ac:dyDescent="0.25">
      <c r="A3" s="21" t="s">
        <v>31</v>
      </c>
      <c r="B3" t="s">
        <v>33</v>
      </c>
    </row>
    <row r="4" spans="1:2" x14ac:dyDescent="0.25">
      <c r="A4" s="22" t="s">
        <v>16</v>
      </c>
      <c r="B4" s="23">
        <v>91000</v>
      </c>
    </row>
    <row r="5" spans="1:2" x14ac:dyDescent="0.25">
      <c r="A5" s="22" t="s">
        <v>32</v>
      </c>
      <c r="B5" s="23">
        <v>91000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opLeftCell="A4" workbookViewId="0">
      <selection activeCell="D33" sqref="D33"/>
    </sheetView>
  </sheetViews>
  <sheetFormatPr defaultRowHeight="15" x14ac:dyDescent="0.25"/>
  <cols>
    <col min="1" max="1" width="10.7109375" customWidth="1"/>
    <col min="2" max="2" width="17.42578125" customWidth="1"/>
    <col min="3" max="3" width="16.28515625" customWidth="1"/>
    <col min="4" max="4" width="13.140625" customWidth="1"/>
    <col min="5" max="5" width="10.5703125" customWidth="1"/>
    <col min="7" max="7" width="11" customWidth="1"/>
    <col min="8" max="8" width="13.140625" customWidth="1"/>
    <col min="9" max="9" width="9.42578125" customWidth="1"/>
  </cols>
  <sheetData>
    <row r="1" spans="1:8" x14ac:dyDescent="0.25">
      <c r="A1" t="s">
        <v>0</v>
      </c>
      <c r="B1" t="s">
        <v>1</v>
      </c>
      <c r="C1" t="s">
        <v>2</v>
      </c>
      <c r="D1" t="s">
        <v>3</v>
      </c>
      <c r="E1" t="s">
        <v>4</v>
      </c>
      <c r="F1" t="s">
        <v>5</v>
      </c>
      <c r="G1" t="s">
        <v>6</v>
      </c>
      <c r="H1" t="s">
        <v>19</v>
      </c>
    </row>
    <row r="2" spans="1:8" x14ac:dyDescent="0.25">
      <c r="A2">
        <v>1</v>
      </c>
      <c r="B2" s="1">
        <v>46027</v>
      </c>
      <c r="C2" t="s">
        <v>7</v>
      </c>
      <c r="D2" t="s">
        <v>8</v>
      </c>
      <c r="E2">
        <v>2</v>
      </c>
      <c r="F2">
        <v>55000</v>
      </c>
      <c r="G2" t="s">
        <v>9</v>
      </c>
      <c r="H2">
        <f>SUM(E2*F2)</f>
        <v>110000</v>
      </c>
    </row>
    <row r="3" spans="1:8" x14ac:dyDescent="0.25">
      <c r="A3">
        <v>2</v>
      </c>
      <c r="B3" s="1">
        <v>46029</v>
      </c>
      <c r="C3" t="s">
        <v>10</v>
      </c>
      <c r="D3" t="s">
        <v>11</v>
      </c>
      <c r="E3">
        <v>5</v>
      </c>
      <c r="F3">
        <v>500</v>
      </c>
      <c r="G3" t="s">
        <v>12</v>
      </c>
      <c r="H3">
        <f t="shared" ref="H3:H11" si="0">SUM(E3*F3)</f>
        <v>2500</v>
      </c>
    </row>
    <row r="4" spans="1:8" x14ac:dyDescent="0.25">
      <c r="A4">
        <v>3</v>
      </c>
      <c r="B4" s="1">
        <v>46032</v>
      </c>
      <c r="C4" t="s">
        <v>13</v>
      </c>
      <c r="D4" t="s">
        <v>11</v>
      </c>
      <c r="E4">
        <v>3</v>
      </c>
      <c r="F4">
        <v>1200</v>
      </c>
      <c r="G4" t="s">
        <v>9</v>
      </c>
      <c r="H4">
        <f t="shared" si="0"/>
        <v>3600</v>
      </c>
    </row>
    <row r="5" spans="1:8" x14ac:dyDescent="0.25">
      <c r="A5">
        <v>4</v>
      </c>
      <c r="B5" s="1">
        <v>46055</v>
      </c>
      <c r="C5" t="s">
        <v>14</v>
      </c>
      <c r="D5" t="s">
        <v>8</v>
      </c>
      <c r="E5">
        <v>4</v>
      </c>
      <c r="F5">
        <v>18000</v>
      </c>
      <c r="G5" t="s">
        <v>15</v>
      </c>
      <c r="H5">
        <f t="shared" si="0"/>
        <v>72000</v>
      </c>
    </row>
    <row r="6" spans="1:8" x14ac:dyDescent="0.25">
      <c r="A6">
        <v>5</v>
      </c>
      <c r="B6" s="1">
        <v>46061</v>
      </c>
      <c r="C6" t="s">
        <v>7</v>
      </c>
      <c r="D6" t="s">
        <v>8</v>
      </c>
      <c r="E6">
        <v>1</v>
      </c>
      <c r="F6">
        <v>55000</v>
      </c>
      <c r="G6" t="s">
        <v>16</v>
      </c>
      <c r="H6">
        <f t="shared" si="0"/>
        <v>55000</v>
      </c>
    </row>
    <row r="7" spans="1:8" x14ac:dyDescent="0.25">
      <c r="A7">
        <v>6</v>
      </c>
      <c r="B7" s="1">
        <v>46068</v>
      </c>
      <c r="C7" t="s">
        <v>17</v>
      </c>
      <c r="D7" t="s">
        <v>11</v>
      </c>
      <c r="E7">
        <v>6</v>
      </c>
      <c r="F7">
        <v>1500</v>
      </c>
      <c r="G7" t="s">
        <v>12</v>
      </c>
      <c r="H7">
        <f t="shared" si="0"/>
        <v>9000</v>
      </c>
    </row>
    <row r="8" spans="1:8" x14ac:dyDescent="0.25">
      <c r="A8">
        <v>7</v>
      </c>
      <c r="B8" s="1">
        <v>46082</v>
      </c>
      <c r="C8" t="s">
        <v>14</v>
      </c>
      <c r="D8" t="s">
        <v>8</v>
      </c>
      <c r="E8">
        <v>2</v>
      </c>
      <c r="F8">
        <v>18000</v>
      </c>
      <c r="G8" t="s">
        <v>9</v>
      </c>
      <c r="H8">
        <f t="shared" si="0"/>
        <v>36000</v>
      </c>
    </row>
    <row r="9" spans="1:8" x14ac:dyDescent="0.25">
      <c r="A9">
        <v>8</v>
      </c>
      <c r="B9" s="1">
        <v>46093</v>
      </c>
      <c r="C9" t="s">
        <v>18</v>
      </c>
      <c r="D9" t="s">
        <v>8</v>
      </c>
      <c r="E9">
        <v>3</v>
      </c>
      <c r="F9">
        <v>12000</v>
      </c>
      <c r="G9" t="s">
        <v>16</v>
      </c>
      <c r="H9">
        <f t="shared" si="0"/>
        <v>36000</v>
      </c>
    </row>
    <row r="10" spans="1:8" x14ac:dyDescent="0.25">
      <c r="A10">
        <v>9</v>
      </c>
      <c r="B10" s="1">
        <v>46099</v>
      </c>
      <c r="C10" t="s">
        <v>10</v>
      </c>
      <c r="D10" t="s">
        <v>11</v>
      </c>
      <c r="E10">
        <v>4</v>
      </c>
      <c r="F10">
        <v>500</v>
      </c>
      <c r="G10" t="s">
        <v>15</v>
      </c>
      <c r="H10">
        <f t="shared" si="0"/>
        <v>2000</v>
      </c>
    </row>
    <row r="11" spans="1:8" x14ac:dyDescent="0.25">
      <c r="A11">
        <v>10</v>
      </c>
      <c r="B11" s="1">
        <v>46106</v>
      </c>
      <c r="C11" t="s">
        <v>13</v>
      </c>
      <c r="D11" t="s">
        <v>11</v>
      </c>
      <c r="E11">
        <v>2</v>
      </c>
      <c r="F11">
        <v>1200</v>
      </c>
      <c r="G11" t="s">
        <v>9</v>
      </c>
      <c r="H11">
        <f t="shared" si="0"/>
        <v>2400</v>
      </c>
    </row>
    <row r="14" spans="1:8" x14ac:dyDescent="0.25">
      <c r="A14">
        <v>1</v>
      </c>
      <c r="B14" t="s">
        <v>28</v>
      </c>
    </row>
    <row r="16" spans="1:8" x14ac:dyDescent="0.25">
      <c r="B16" s="15" t="s">
        <v>22</v>
      </c>
      <c r="C16" s="16" t="s">
        <v>20</v>
      </c>
      <c r="D16" s="17" t="s">
        <v>19</v>
      </c>
    </row>
    <row r="17" spans="1:4" x14ac:dyDescent="0.25">
      <c r="B17" s="12">
        <v>1</v>
      </c>
      <c r="C17" s="10" t="s">
        <v>7</v>
      </c>
      <c r="D17" s="14">
        <f t="shared" ref="D17:D22" si="1">SUMIF($C$2:$C$11, C17, $H$2:$H$11)</f>
        <v>165000</v>
      </c>
    </row>
    <row r="18" spans="1:4" x14ac:dyDescent="0.25">
      <c r="B18" s="11">
        <v>2</v>
      </c>
      <c r="C18" s="9" t="s">
        <v>14</v>
      </c>
      <c r="D18" s="13">
        <f t="shared" si="1"/>
        <v>108000</v>
      </c>
    </row>
    <row r="19" spans="1:4" x14ac:dyDescent="0.25">
      <c r="B19" s="12">
        <v>3</v>
      </c>
      <c r="C19" s="10" t="s">
        <v>18</v>
      </c>
      <c r="D19" s="14">
        <f t="shared" si="1"/>
        <v>36000</v>
      </c>
    </row>
    <row r="20" spans="1:4" x14ac:dyDescent="0.25">
      <c r="B20" s="11">
        <v>4</v>
      </c>
      <c r="C20" s="9" t="s">
        <v>17</v>
      </c>
      <c r="D20" s="13">
        <f t="shared" si="1"/>
        <v>9000</v>
      </c>
    </row>
    <row r="21" spans="1:4" x14ac:dyDescent="0.25">
      <c r="B21" s="12">
        <v>5</v>
      </c>
      <c r="C21" s="10" t="s">
        <v>13</v>
      </c>
      <c r="D21" s="14">
        <f t="shared" si="1"/>
        <v>6000</v>
      </c>
    </row>
    <row r="22" spans="1:4" x14ac:dyDescent="0.25">
      <c r="B22" s="18">
        <v>6</v>
      </c>
      <c r="C22" s="19" t="s">
        <v>10</v>
      </c>
      <c r="D22" s="20">
        <f t="shared" si="1"/>
        <v>4500</v>
      </c>
    </row>
    <row r="25" spans="1:4" x14ac:dyDescent="0.25">
      <c r="A25">
        <v>2</v>
      </c>
      <c r="B25" t="s">
        <v>30</v>
      </c>
    </row>
    <row r="27" spans="1:4" x14ac:dyDescent="0.25">
      <c r="B27" t="s">
        <v>22</v>
      </c>
      <c r="C27" t="s">
        <v>21</v>
      </c>
      <c r="D27" t="s">
        <v>19</v>
      </c>
    </row>
    <row r="28" spans="1:4" x14ac:dyDescent="0.25">
      <c r="B28">
        <v>1</v>
      </c>
      <c r="C28" t="s">
        <v>9</v>
      </c>
      <c r="D28">
        <f ca="1">SUMIF($G$2:$G37, C28, $H$2:$H36)</f>
        <v>152000</v>
      </c>
    </row>
    <row r="29" spans="1:4" x14ac:dyDescent="0.25">
      <c r="B29">
        <v>2</v>
      </c>
      <c r="C29" t="s">
        <v>16</v>
      </c>
      <c r="D29">
        <f ca="1">SUMIF($G$2:$G38, C29, $H$2:$H37)</f>
        <v>91000</v>
      </c>
    </row>
    <row r="30" spans="1:4" x14ac:dyDescent="0.25">
      <c r="B30">
        <v>3</v>
      </c>
      <c r="C30" t="s">
        <v>15</v>
      </c>
      <c r="D30">
        <f ca="1">SUMIF($G$2:$G39, C30, $H$2:$H38)</f>
        <v>74000</v>
      </c>
    </row>
    <row r="31" spans="1:4" x14ac:dyDescent="0.25">
      <c r="B31">
        <v>4</v>
      </c>
      <c r="C31" t="s">
        <v>12</v>
      </c>
      <c r="D31">
        <f ca="1">SUMIF($G$2:$G40, C31, $H$2:$H39)</f>
        <v>11500</v>
      </c>
    </row>
  </sheetData>
  <pageMargins left="0.7" right="0.7" top="0.75" bottom="0.75" header="0.3" footer="0.3"/>
  <pageSetup orientation="portrait" r:id="rId1"/>
  <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7"/>
  <sheetViews>
    <sheetView workbookViewId="0">
      <selection activeCell="M28" sqref="M28"/>
    </sheetView>
  </sheetViews>
  <sheetFormatPr defaultRowHeight="15" x14ac:dyDescent="0.25"/>
  <cols>
    <col min="2" max="2" width="27" customWidth="1"/>
    <col min="4" max="4" width="24" customWidth="1"/>
    <col min="6" max="6" width="26.5703125" customWidth="1"/>
    <col min="7" max="7" width="8.5703125" customWidth="1"/>
    <col min="8" max="8" width="34" customWidth="1"/>
  </cols>
  <sheetData>
    <row r="3" spans="1:8" ht="15.75" x14ac:dyDescent="0.25">
      <c r="A3" s="25"/>
      <c r="B3" s="3" t="s">
        <v>23</v>
      </c>
      <c r="C3" s="26"/>
      <c r="D3" s="7" t="s">
        <v>24</v>
      </c>
      <c r="E3" s="27"/>
      <c r="F3" s="28" t="s">
        <v>25</v>
      </c>
      <c r="G3" s="30"/>
      <c r="H3" s="4" t="s">
        <v>27</v>
      </c>
    </row>
    <row r="4" spans="1:8" ht="23.25" x14ac:dyDescent="0.35">
      <c r="A4" s="25"/>
      <c r="B4" s="2">
        <f>SUM('Raw Data'!H2:H11)</f>
        <v>328500</v>
      </c>
      <c r="C4" s="26"/>
      <c r="D4" s="8">
        <f>COUNT('Raw Data'!A2:A11)</f>
        <v>10</v>
      </c>
      <c r="E4" s="27"/>
      <c r="F4" s="29">
        <v>32850</v>
      </c>
      <c r="G4" s="30"/>
      <c r="H4" s="5" t="s">
        <v>26</v>
      </c>
    </row>
    <row r="5" spans="1:8" ht="23.25" x14ac:dyDescent="0.35">
      <c r="A5" s="25"/>
      <c r="B5" s="25"/>
      <c r="C5" s="26"/>
      <c r="D5" s="26"/>
      <c r="E5" s="27"/>
      <c r="F5" s="27"/>
      <c r="G5" s="30"/>
      <c r="H5" s="6">
        <f>MAX('Raw Data'!K4:K9)</f>
        <v>165000</v>
      </c>
    </row>
    <row r="7" spans="1:8" ht="18" x14ac:dyDescent="0.25">
      <c r="A7"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Sheet2</vt:lpstr>
      <vt:lpstr>Sheet3</vt:lpstr>
      <vt:lpstr>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Toshiba</cp:lastModifiedBy>
  <dcterms:created xsi:type="dcterms:W3CDTF">2026-10-15T08:03:44Z</dcterms:created>
  <dcterms:modified xsi:type="dcterms:W3CDTF">2026-10-17T04:53:28Z</dcterms:modified>
</cp:coreProperties>
</file>